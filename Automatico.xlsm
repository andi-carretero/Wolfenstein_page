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w\Desktop\paa_github\"/>
    </mc:Choice>
  </mc:AlternateContent>
  <xr:revisionPtr revIDLastSave="0" documentId="13_ncr:1_{5AB30711-2D3E-4342-9A8A-036CD526E6B0}" xr6:coauthVersionLast="45" xr6:coauthVersionMax="45" xr10:uidLastSave="{00000000-0000-0000-0000-000000000000}"/>
  <bookViews>
    <workbookView xWindow="-120" yWindow="-120" windowWidth="25440" windowHeight="15390" xr2:uid="{00000000-000D-0000-FFFF-FFFF00000000}"/>
  </bookViews>
  <sheets>
    <sheet name="Macro1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7" i="2" l="1"/>
  <c r="K8" i="2"/>
  <c r="K9" i="2"/>
  <c r="K10" i="2"/>
  <c r="K11" i="2"/>
  <c r="K12" i="2"/>
  <c r="K13" i="2"/>
  <c r="K14" i="2"/>
  <c r="K15" i="2"/>
  <c r="K16" i="2"/>
  <c r="K6" i="2" l="1"/>
</calcChain>
</file>

<file path=xl/sharedStrings.xml><?xml version="1.0" encoding="utf-8"?>
<sst xmlns="http://schemas.openxmlformats.org/spreadsheetml/2006/main" count="74" uniqueCount="65">
  <si>
    <t>CondicionFrenteAlIVA</t>
  </si>
  <si>
    <t>Nombre/RazonSocial</t>
  </si>
  <si>
    <t>OBRA SOCIAL DEL PERSONAL SUPERIOR MERCEDES BENZ ARGENTINA</t>
  </si>
  <si>
    <t>Domicilio</t>
  </si>
  <si>
    <t>Condicion Venta</t>
  </si>
  <si>
    <t>Cuenta Corriente</t>
  </si>
  <si>
    <t>Mes Actual</t>
  </si>
  <si>
    <t>IVA Sujeto Exento</t>
  </si>
  <si>
    <t>Datos mensuales</t>
  </si>
  <si>
    <t>FechaComprobante</t>
  </si>
  <si>
    <t>Desde</t>
  </si>
  <si>
    <t>Hasta</t>
  </si>
  <si>
    <t>VencimientoDelPago</t>
  </si>
  <si>
    <t>descripcionDelServicio</t>
  </si>
  <si>
    <t>ValorSesion</t>
  </si>
  <si>
    <t>Rivadavia Av. 10964 - Capital Federal, Ciudad de Buenos Aires</t>
  </si>
  <si>
    <t>FechasDeSesiones</t>
  </si>
  <si>
    <t>DNI</t>
  </si>
  <si>
    <t>N° Afiliado</t>
  </si>
  <si>
    <t>CantSesionesXMes</t>
  </si>
  <si>
    <t>Beneficiario</t>
  </si>
  <si>
    <t>Contado</t>
  </si>
  <si>
    <t>NumeroCUIT</t>
  </si>
  <si>
    <t>(CASI siempre CC)</t>
  </si>
  <si>
    <t>Para buscar comprobantes viejos</t>
  </si>
  <si>
    <t>https://serviciosjava2.afip.gob.ar/rcel/jsp/filtrarComprobantesGenerados.do</t>
  </si>
  <si>
    <t>1, 8, 15, 22 y 29/12</t>
  </si>
  <si>
    <t>CUIT contributente</t>
  </si>
  <si>
    <t>contraseña</t>
  </si>
  <si>
    <t>febrero</t>
  </si>
  <si>
    <t>TU CUIT</t>
  </si>
  <si>
    <t>TU CONTRASEÑA DE LA AFIP</t>
  </si>
  <si>
    <t>NOMBRE 1</t>
  </si>
  <si>
    <t>NOMBRE 2</t>
  </si>
  <si>
    <t>NOMBRE 3</t>
  </si>
  <si>
    <t>NOMBRE 5</t>
  </si>
  <si>
    <t>NOMBRE 4</t>
  </si>
  <si>
    <t>NOMBRE 6</t>
  </si>
  <si>
    <t>NOMBRE 7</t>
  </si>
  <si>
    <t>NOMBRE 8</t>
  </si>
  <si>
    <t>NOMBRE 9</t>
  </si>
  <si>
    <t>NOMBRE 10</t>
  </si>
  <si>
    <t>NOMBRE 11</t>
  </si>
  <si>
    <t>DNI BENEFICIAIO 1</t>
  </si>
  <si>
    <t>DNI BENEFICIAIO 2</t>
  </si>
  <si>
    <t>DNI BENEFICIAIO 3</t>
  </si>
  <si>
    <t>DNI BENEFICIAIO 4</t>
  </si>
  <si>
    <t>DNI BENEFICIAIO 5</t>
  </si>
  <si>
    <t>DNI BENEFICIAIO 6</t>
  </si>
  <si>
    <t>DNI BENEFICIAIO 7</t>
  </si>
  <si>
    <t>DNI BENEFICIAIO 8</t>
  </si>
  <si>
    <t>DNI BENEFICIAIO 9</t>
  </si>
  <si>
    <t>DNI BENEFICIAIO 10</t>
  </si>
  <si>
    <t>DNI BENEFICIAIO 11</t>
  </si>
  <si>
    <t>N° AFILILIADO 1</t>
  </si>
  <si>
    <t>N° AFILILIADO 2</t>
  </si>
  <si>
    <t>N° AFILILIADO 3</t>
  </si>
  <si>
    <t>N° AFILILIADO 4</t>
  </si>
  <si>
    <t>N° AFILILIADO 5</t>
  </si>
  <si>
    <t>N° AFILILIADO 6</t>
  </si>
  <si>
    <t>N° AFILILIADO 7</t>
  </si>
  <si>
    <t>N° AFILILIADO 8</t>
  </si>
  <si>
    <t>N° AFILILIADO 9</t>
  </si>
  <si>
    <t>N° AFILILIADO 10</t>
  </si>
  <si>
    <t>N° AFILILIADO 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</si>
</sst>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0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8" xfId="0" applyNumberFormat="1" applyBorder="1"/>
    <xf numFmtId="0" fontId="0" fillId="0" borderId="9" xfId="0" applyBorder="1" applyAlignment="1">
      <alignment wrapText="1"/>
    </xf>
    <xf numFmtId="0" fontId="0" fillId="0" borderId="0" xfId="0" applyFill="1" applyBorder="1"/>
    <xf numFmtId="0" fontId="0" fillId="0" borderId="16" xfId="0" applyBorder="1"/>
    <xf numFmtId="164" fontId="0" fillId="0" borderId="0" xfId="0" applyNumberFormat="1" applyBorder="1"/>
    <xf numFmtId="0" fontId="0" fillId="0" borderId="8" xfId="0" applyBorder="1" applyAlignment="1">
      <alignment wrapText="1"/>
    </xf>
    <xf numFmtId="0" fontId="0" fillId="0" borderId="17" xfId="0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14" fontId="0" fillId="0" borderId="5" xfId="0" applyNumberFormat="1" applyBorder="1"/>
    <xf numFmtId="0" fontId="0" fillId="0" borderId="1" xfId="0" applyNumberFormat="1" applyBorder="1"/>
    <xf numFmtId="0" fontId="3" fillId="0" borderId="0" xfId="1"/>
    <xf numFmtId="0" fontId="0" fillId="0" borderId="24" xfId="0" applyBorder="1"/>
    <xf numFmtId="0" fontId="2" fillId="0" borderId="20" xfId="0" applyFont="1" applyBorder="1"/>
    <xf numFmtId="0" fontId="2" fillId="0" borderId="18" xfId="0" applyFont="1" applyBorder="1" applyAlignment="1">
      <alignment wrapText="1"/>
    </xf>
    <xf numFmtId="0" fontId="2" fillId="0" borderId="0" xfId="0" applyFont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1</xdr:row>
          <xdr:rowOff>0</xdr:rowOff>
        </xdr:from>
        <xdr:to>
          <xdr:col>1</xdr:col>
          <xdr:colOff>962025</xdr:colOff>
          <xdr:row>3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Inicializar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</xdr:row>
          <xdr:rowOff>1000125</xdr:rowOff>
        </xdr:from>
        <xdr:to>
          <xdr:col>0</xdr:col>
          <xdr:colOff>1104900</xdr:colOff>
          <xdr:row>5</xdr:row>
          <xdr:rowOff>1466850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facturar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6</xdr:row>
          <xdr:rowOff>1000125</xdr:rowOff>
        </xdr:from>
        <xdr:to>
          <xdr:col>0</xdr:col>
          <xdr:colOff>1104900</xdr:colOff>
          <xdr:row>6</xdr:row>
          <xdr:rowOff>1466850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facturar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7</xdr:row>
          <xdr:rowOff>1000125</xdr:rowOff>
        </xdr:from>
        <xdr:to>
          <xdr:col>0</xdr:col>
          <xdr:colOff>1104900</xdr:colOff>
          <xdr:row>7</xdr:row>
          <xdr:rowOff>1466850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facturar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8</xdr:row>
          <xdr:rowOff>1000125</xdr:rowOff>
        </xdr:from>
        <xdr:to>
          <xdr:col>0</xdr:col>
          <xdr:colOff>1104900</xdr:colOff>
          <xdr:row>8</xdr:row>
          <xdr:rowOff>1466850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facturar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9</xdr:row>
          <xdr:rowOff>1000125</xdr:rowOff>
        </xdr:from>
        <xdr:to>
          <xdr:col>0</xdr:col>
          <xdr:colOff>1104900</xdr:colOff>
          <xdr:row>9</xdr:row>
          <xdr:rowOff>1466850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facturar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10</xdr:row>
          <xdr:rowOff>1000125</xdr:rowOff>
        </xdr:from>
        <xdr:to>
          <xdr:col>0</xdr:col>
          <xdr:colOff>1104900</xdr:colOff>
          <xdr:row>10</xdr:row>
          <xdr:rowOff>1466850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facturar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11</xdr:row>
          <xdr:rowOff>1000125</xdr:rowOff>
        </xdr:from>
        <xdr:to>
          <xdr:col>0</xdr:col>
          <xdr:colOff>1104900</xdr:colOff>
          <xdr:row>11</xdr:row>
          <xdr:rowOff>1466850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facturar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12</xdr:row>
          <xdr:rowOff>1000125</xdr:rowOff>
        </xdr:from>
        <xdr:to>
          <xdr:col>0</xdr:col>
          <xdr:colOff>1104900</xdr:colOff>
          <xdr:row>12</xdr:row>
          <xdr:rowOff>1466850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facturar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13</xdr:row>
          <xdr:rowOff>1000125</xdr:rowOff>
        </xdr:from>
        <xdr:to>
          <xdr:col>0</xdr:col>
          <xdr:colOff>1104900</xdr:colOff>
          <xdr:row>13</xdr:row>
          <xdr:rowOff>1466850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facturar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14</xdr:row>
          <xdr:rowOff>1000125</xdr:rowOff>
        </xdr:from>
        <xdr:to>
          <xdr:col>0</xdr:col>
          <xdr:colOff>1104900</xdr:colOff>
          <xdr:row>14</xdr:row>
          <xdr:rowOff>1466850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facturar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685800</xdr:rowOff>
        </xdr:from>
        <xdr:to>
          <xdr:col>0</xdr:col>
          <xdr:colOff>1085850</xdr:colOff>
          <xdr:row>15</xdr:row>
          <xdr:rowOff>1152525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facturar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12" Type="http://schemas.openxmlformats.org/officeDocument/2006/relationships/ctrlProp" Target="../ctrlProps/ctrlProp8.xml"/><Relationship Id="rId2" Type="http://schemas.openxmlformats.org/officeDocument/2006/relationships/printerSettings" Target="../printerSettings/printerSettings1.bin"/><Relationship Id="rId16" Type="http://schemas.openxmlformats.org/officeDocument/2006/relationships/ctrlProp" Target="../ctrlProps/ctrlProp12.xml"/><Relationship Id="rId1" Type="http://schemas.openxmlformats.org/officeDocument/2006/relationships/hyperlink" Target="https://serviciosjava2.afip.gob.ar/rcel/jsp/filtrarComprobantesGenerados.do" TargetMode="External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L30"/>
  <sheetViews>
    <sheetView tabSelected="1" zoomScale="70" zoomScaleNormal="70" workbookViewId="0">
      <selection activeCell="I17" sqref="I17"/>
    </sheetView>
  </sheetViews>
  <sheetFormatPr baseColWidth="10" defaultRowHeight="15" x14ac:dyDescent="0.25"/>
  <cols>
    <col min="1" max="1" width="20" customWidth="1"/>
    <col min="2" max="2" width="20" bestFit="1" customWidth="1"/>
    <col min="3" max="3" width="17.5703125" customWidth="1"/>
    <col min="4" max="4" width="26.5703125" bestFit="1" customWidth="1"/>
    <col min="5" max="5" width="14.85546875" bestFit="1" customWidth="1"/>
    <col min="6" max="6" width="42.42578125" customWidth="1"/>
    <col min="7" max="7" width="50.5703125" customWidth="1"/>
    <col min="8" max="8" width="18.28515625" bestFit="1" customWidth="1"/>
    <col min="9" max="9" width="18.5703125" customWidth="1"/>
    <col min="10" max="10" width="33.85546875" bestFit="1" customWidth="1"/>
    <col min="11" max="11" width="68.85546875" bestFit="1" customWidth="1"/>
    <col min="12" max="12" width="78.140625" customWidth="1"/>
  </cols>
  <sheetData>
    <row r="1" spans="1:12" x14ac:dyDescent="0.25">
      <c r="A1" s="12"/>
      <c r="B1" s="12"/>
      <c r="C1" s="13" t="s">
        <v>8</v>
      </c>
      <c r="D1" s="14" t="s">
        <v>9</v>
      </c>
      <c r="E1" s="14" t="s">
        <v>10</v>
      </c>
      <c r="F1" s="14" t="s">
        <v>11</v>
      </c>
      <c r="G1" s="14" t="s">
        <v>12</v>
      </c>
      <c r="H1" s="14" t="s">
        <v>6</v>
      </c>
      <c r="I1" s="31" t="s">
        <v>14</v>
      </c>
      <c r="J1" s="13" t="s">
        <v>27</v>
      </c>
      <c r="K1" s="15" t="s">
        <v>28</v>
      </c>
      <c r="L1" s="12"/>
    </row>
    <row r="2" spans="1:12" ht="15.75" thickBot="1" x14ac:dyDescent="0.3">
      <c r="A2" s="12"/>
      <c r="B2" s="12"/>
      <c r="C2" s="4"/>
      <c r="D2" s="28">
        <v>44264</v>
      </c>
      <c r="E2" s="28">
        <v>44228</v>
      </c>
      <c r="F2" s="28">
        <v>44255</v>
      </c>
      <c r="G2" s="28">
        <v>44264</v>
      </c>
      <c r="H2" s="5" t="s">
        <v>29</v>
      </c>
      <c r="I2" s="32">
        <v>772.46</v>
      </c>
      <c r="J2" s="4" t="s">
        <v>30</v>
      </c>
      <c r="K2" s="6" t="s">
        <v>31</v>
      </c>
      <c r="L2" s="12"/>
    </row>
    <row r="3" spans="1:12" x14ac:dyDescent="0.25">
      <c r="J3" s="34"/>
    </row>
    <row r="4" spans="1:12" ht="15.75" thickBot="1" x14ac:dyDescent="0.3">
      <c r="D4" t="s">
        <v>24</v>
      </c>
      <c r="E4" s="30" t="s">
        <v>25</v>
      </c>
      <c r="H4" t="s">
        <v>23</v>
      </c>
      <c r="L4" s="12"/>
    </row>
    <row r="5" spans="1:12" ht="15.75" thickBot="1" x14ac:dyDescent="0.3">
      <c r="A5" s="9" t="s">
        <v>20</v>
      </c>
      <c r="B5" s="26" t="s">
        <v>17</v>
      </c>
      <c r="C5" s="26" t="s">
        <v>18</v>
      </c>
      <c r="D5" s="10" t="s">
        <v>0</v>
      </c>
      <c r="E5" s="10" t="s">
        <v>22</v>
      </c>
      <c r="F5" s="10" t="s">
        <v>1</v>
      </c>
      <c r="G5" s="10" t="s">
        <v>3</v>
      </c>
      <c r="H5" s="10" t="s">
        <v>4</v>
      </c>
      <c r="I5" s="10" t="s">
        <v>19</v>
      </c>
      <c r="J5" s="22" t="s">
        <v>16</v>
      </c>
      <c r="K5" s="11" t="s">
        <v>13</v>
      </c>
      <c r="L5" s="12"/>
    </row>
    <row r="6" spans="1:12" ht="134.25" customHeight="1" x14ac:dyDescent="0.25">
      <c r="A6" s="7" t="s">
        <v>32</v>
      </c>
      <c r="B6" s="27" t="s">
        <v>43</v>
      </c>
      <c r="C6" s="19" t="s">
        <v>54</v>
      </c>
      <c r="D6" s="8" t="s">
        <v>7</v>
      </c>
      <c r="E6" s="16">
        <v>30589135128</v>
      </c>
      <c r="F6" s="8" t="s">
        <v>2</v>
      </c>
      <c r="G6" s="8" t="s">
        <v>15</v>
      </c>
      <c r="H6" s="8" t="s">
        <v>5</v>
      </c>
      <c r="I6" s="21">
        <v>5</v>
      </c>
      <c r="J6" s="33" t="s">
        <v>26</v>
      </c>
      <c r="K6" s="17" t="str">
        <f>I6&amp;" sesiones de foniatría  área discapacidad del mes de "&amp;H2&amp;" del 2021
BENEFICIARIO : "&amp;A6&amp;"
DNI "&amp;B6&amp;"      N° Af "&amp;C6&amp;"
Valor de la sesión : $ "&amp;I2&amp;"
Fechas :  "&amp;J6</f>
        <v>5 sesiones de foniatría  área discapacidad del mes de febrero del 2021
BENEFICIARIO : NOMBRE 1
DNI DNI BENEFICIAIO 1      N° Af N° AFILILIADO 1
Valor de la sesión : $ 772,46
Fechas :  1, 8, 15, 22 y 29/12</v>
      </c>
      <c r="L6" s="12"/>
    </row>
    <row r="7" spans="1:12" ht="135" x14ac:dyDescent="0.25">
      <c r="A7" s="2" t="s">
        <v>33</v>
      </c>
      <c r="B7" s="27" t="s">
        <v>44</v>
      </c>
      <c r="C7" s="19" t="s">
        <v>55</v>
      </c>
      <c r="D7" s="8"/>
      <c r="E7" s="29"/>
      <c r="F7" s="1"/>
      <c r="G7" s="1"/>
      <c r="H7" s="8" t="s">
        <v>5</v>
      </c>
      <c r="I7" s="1">
        <v>4</v>
      </c>
      <c r="J7" s="23"/>
      <c r="K7" s="17" t="str">
        <f>I7&amp;" sesiones de foniatría  área discapacidad del mes de "&amp;H2&amp;" del 2021
BENEFICIARIO :  "&amp;A7&amp;"
DNI "&amp;B7&amp;"      N° Af "&amp;C7&amp;"
Valor de la sesión : $ "&amp;I2&amp;"
Fechas :  "&amp;J7</f>
        <v xml:space="preserve">4 sesiones de foniatría  área discapacidad del mes de febrero del 2021
BENEFICIARIO :  NOMBRE 2
DNI DNI BENEFICIAIO 2      N° Af N° AFILILIADO 2
Valor de la sesión : $ 772,46
Fechas :  </v>
      </c>
      <c r="L7" s="12"/>
    </row>
    <row r="8" spans="1:12" ht="135" x14ac:dyDescent="0.25">
      <c r="A8" s="2" t="s">
        <v>34</v>
      </c>
      <c r="B8" s="27" t="s">
        <v>45</v>
      </c>
      <c r="C8" s="19" t="s">
        <v>56</v>
      </c>
      <c r="D8" s="1"/>
      <c r="E8" s="29"/>
      <c r="F8" s="1"/>
      <c r="G8" s="1"/>
      <c r="H8" s="1" t="s">
        <v>5</v>
      </c>
      <c r="I8" s="1">
        <v>5</v>
      </c>
      <c r="J8" s="23"/>
      <c r="K8" s="17" t="str">
        <f>I8&amp;" sesiones de foniatría  área discapacidad del mes de "&amp;H2&amp;" del 2021
BENEFICIARIO : "&amp;A8&amp;"
N° Af "&amp;C8&amp;"
Valor de la sesión : $ "&amp;I2&amp;"
Fechas :  "&amp;J8</f>
        <v xml:space="preserve">5 sesiones de foniatría  área discapacidad del mes de febrero del 2021
BENEFICIARIO : NOMBRE 3
N° Af N° AFILILIADO 3
Valor de la sesión : $ 772,46
Fechas :  </v>
      </c>
      <c r="L8" s="12"/>
    </row>
    <row r="9" spans="1:12" ht="135" x14ac:dyDescent="0.25">
      <c r="A9" s="2" t="s">
        <v>36</v>
      </c>
      <c r="B9" s="27" t="s">
        <v>46</v>
      </c>
      <c r="C9" s="19" t="s">
        <v>57</v>
      </c>
      <c r="D9" s="8"/>
      <c r="E9" s="29"/>
      <c r="F9" s="1"/>
      <c r="G9" s="1"/>
      <c r="H9" s="1" t="s">
        <v>5</v>
      </c>
      <c r="I9" s="1">
        <v>6</v>
      </c>
      <c r="J9" s="23"/>
      <c r="K9" s="17" t="str">
        <f>I9&amp;" sesiones de foniatría  área discapacidad del mes de "&amp;H2&amp;" del 2021
BENEFICIARIO :  "&amp;A9&amp;"
DNI "&amp;B9&amp;"      N° Af "&amp;C9&amp;"
Valor de la sesión : $ "&amp;I2&amp;"
Fechas :  "&amp;J9</f>
        <v xml:space="preserve">6 sesiones de foniatría  área discapacidad del mes de febrero del 2021
BENEFICIARIO :  NOMBRE 4
DNI DNI BENEFICIAIO 4      N° Af N° AFILILIADO 4
Valor de la sesión : $ 772,46
Fechas :  </v>
      </c>
      <c r="L9" s="12"/>
    </row>
    <row r="10" spans="1:12" ht="135" x14ac:dyDescent="0.25">
      <c r="A10" s="2" t="s">
        <v>35</v>
      </c>
      <c r="B10" s="27" t="s">
        <v>47</v>
      </c>
      <c r="C10" s="19" t="s">
        <v>58</v>
      </c>
      <c r="D10" s="1"/>
      <c r="E10" s="29"/>
      <c r="F10" s="1"/>
      <c r="G10" s="1"/>
      <c r="H10" s="1" t="s">
        <v>5</v>
      </c>
      <c r="I10" s="1">
        <v>5</v>
      </c>
      <c r="J10" s="23"/>
      <c r="K10" s="17" t="str">
        <f>I10&amp;" sesiones de foniatría  área discapacidad del mes de "&amp;H2&amp;" del 2021
BENEFICIARIO : "&amp;A10&amp;"
DNI "&amp;B10&amp;"
Valor de la sesión : $ "&amp;I2&amp;"
Fechas :  "&amp;J10</f>
        <v xml:space="preserve">5 sesiones de foniatría  área discapacidad del mes de febrero del 2021
BENEFICIARIO : NOMBRE 5
DNI DNI BENEFICIAIO 5
Valor de la sesión : $ 772,46
Fechas :  </v>
      </c>
      <c r="L10" s="12"/>
    </row>
    <row r="11" spans="1:12" ht="165" x14ac:dyDescent="0.25">
      <c r="A11" s="2" t="s">
        <v>37</v>
      </c>
      <c r="B11" s="27" t="s">
        <v>48</v>
      </c>
      <c r="C11" s="19" t="s">
        <v>59</v>
      </c>
      <c r="D11" s="8"/>
      <c r="E11" s="29"/>
      <c r="F11" s="1"/>
      <c r="G11" s="1"/>
      <c r="H11" s="1" t="s">
        <v>5</v>
      </c>
      <c r="I11" s="1">
        <v>4</v>
      </c>
      <c r="J11" s="23"/>
      <c r="K11" s="17" t="str">
        <f>I11&amp;" sesiones de foniatría  área discapacidad del mes de "&amp;H2&amp;" del 2021
BENEFICIARIO :  "&amp;A11&amp;"
DNI "&amp;B11&amp;"
Prestador : Lorenzo,Paula
Valor de la sesión : $ "&amp;I2&amp;"
Fechas :  "&amp;J11</f>
        <v xml:space="preserve">4 sesiones de foniatría  área discapacidad del mes de febrero del 2021
BENEFICIARIO :  NOMBRE 6
DNI DNI BENEFICIAIO 6
Prestador : Lorenzo,Paula
Valor de la sesión : $ 772,46
Fechas :  </v>
      </c>
      <c r="L11" s="12"/>
    </row>
    <row r="12" spans="1:12" ht="135" x14ac:dyDescent="0.25">
      <c r="A12" s="2" t="s">
        <v>38</v>
      </c>
      <c r="B12" s="27" t="s">
        <v>49</v>
      </c>
      <c r="C12" s="19" t="s">
        <v>60</v>
      </c>
      <c r="D12" s="1"/>
      <c r="E12" s="29"/>
      <c r="F12" s="1"/>
      <c r="G12" s="1"/>
      <c r="H12" s="1" t="s">
        <v>5</v>
      </c>
      <c r="I12" s="1">
        <v>6</v>
      </c>
      <c r="J12" s="23"/>
      <c r="K12" s="17" t="str">
        <f>I12&amp;" sesiones de foniatría  área discapacidad del mes de "&amp;H2&amp;" del 2021
BENEFICIARIO :  "&amp;A12&amp;"
DNI "&amp;B12&amp;" 
Valor de la sesión : $ "&amp;I2&amp;"
Fechas :  "&amp;J12</f>
        <v xml:space="preserve">6 sesiones de foniatría  área discapacidad del mes de febrero del 2021
BENEFICIARIO :  NOMBRE 7
DNI DNI BENEFICIAIO 7 
Valor de la sesión : $ 772,46
Fechas :  </v>
      </c>
      <c r="L12" s="12"/>
    </row>
    <row r="13" spans="1:12" ht="135" x14ac:dyDescent="0.25">
      <c r="A13" s="2" t="s">
        <v>39</v>
      </c>
      <c r="B13" s="27" t="s">
        <v>50</v>
      </c>
      <c r="C13" s="19" t="s">
        <v>61</v>
      </c>
      <c r="D13" s="1"/>
      <c r="E13" s="29"/>
      <c r="F13" s="1"/>
      <c r="G13" s="1"/>
      <c r="H13" s="1" t="s">
        <v>5</v>
      </c>
      <c r="I13" s="1">
        <v>5</v>
      </c>
      <c r="J13" s="23"/>
      <c r="K13" s="17" t="str">
        <f>I13&amp;" sesiones de foniatría  área discapacidad del mes de "&amp;H2&amp;" del 2021
BENEFICIARIO :  "&amp;A13&amp;"
DNI "&amp;B13&amp;"      N° Af "&amp;C13&amp;"
Valor de la sesión : $ "&amp;I2&amp;"
Fechas :  "&amp;J13</f>
        <v xml:space="preserve">5 sesiones de foniatría  área discapacidad del mes de febrero del 2021
BENEFICIARIO :  NOMBRE 8
DNI DNI BENEFICIAIO 8      N° Af N° AFILILIADO 8
Valor de la sesión : $ 772,46
Fechas :  </v>
      </c>
      <c r="L13" s="12"/>
    </row>
    <row r="14" spans="1:12" ht="165" x14ac:dyDescent="0.25">
      <c r="A14" s="2" t="s">
        <v>40</v>
      </c>
      <c r="B14" s="27" t="s">
        <v>51</v>
      </c>
      <c r="C14" s="19" t="s">
        <v>62</v>
      </c>
      <c r="D14" s="1"/>
      <c r="E14" s="29"/>
      <c r="F14" s="1"/>
      <c r="G14" s="1"/>
      <c r="H14" s="1" t="s">
        <v>5</v>
      </c>
      <c r="I14" s="1">
        <v>4</v>
      </c>
      <c r="J14" s="23"/>
      <c r="K14" s="17" t="str">
        <f>I14&amp;"  sesiones de foniatría  área discapacidad del mes de "&amp;H2&amp;" del 2021
BENEFICIARIO :  "&amp;A14&amp;"
N° Af "&amp;C14&amp;"
Profesional : Flga. Paula Lorenzo
Valor de la sesión : $ "&amp;I2&amp;"
Fechas :  "&amp;J14</f>
        <v xml:space="preserve">4  sesiones de foniatría  área discapacidad del mes de febrero del 2021
BENEFICIARIO :  NOMBRE 9
N° Af N° AFILILIADO 9
Profesional : Flga. Paula Lorenzo
Valor de la sesión : $ 772,46
Fechas :  </v>
      </c>
      <c r="L14" s="12"/>
    </row>
    <row r="15" spans="1:12" ht="195" x14ac:dyDescent="0.25">
      <c r="A15" s="2" t="s">
        <v>41</v>
      </c>
      <c r="B15" s="27" t="s">
        <v>52</v>
      </c>
      <c r="C15" s="19" t="s">
        <v>63</v>
      </c>
      <c r="D15" s="1"/>
      <c r="E15" s="29"/>
      <c r="F15" s="1"/>
      <c r="G15" s="1"/>
      <c r="H15" s="1" t="s">
        <v>21</v>
      </c>
      <c r="I15" s="1">
        <v>6</v>
      </c>
      <c r="J15" s="23"/>
      <c r="K15" s="17" t="str">
        <f>I15&amp;" sesiones de foniatría del mes de "&amp;H2&amp;" del 2021
Codigo 250104 x 10 (diez)
BENEFICIARIO : "&amp;A15&amp;"
OSDE 410
N° Af "&amp;C15&amp;"
Valor de la sesión : $ "&amp;I2&amp;"
Fechas :  "&amp;J15</f>
        <v xml:space="preserve">6 sesiones de foniatría del mes de febrero del 2021
Codigo 250104 x 10 (diez)
BENEFICIARIO : NOMBRE 10
OSDE 410
N° Af N° AFILILIADO 10
Valor de la sesión : $ 772,46
Fechas :  </v>
      </c>
      <c r="L15" s="12"/>
    </row>
    <row r="16" spans="1:12" ht="135" x14ac:dyDescent="0.25">
      <c r="A16" s="2" t="s">
        <v>42</v>
      </c>
      <c r="B16" s="27" t="s">
        <v>53</v>
      </c>
      <c r="C16" s="19" t="s">
        <v>64</v>
      </c>
      <c r="D16" s="1"/>
      <c r="E16" s="29"/>
      <c r="F16" s="1"/>
      <c r="G16" s="1"/>
      <c r="H16" s="1" t="s">
        <v>5</v>
      </c>
      <c r="I16" s="1">
        <v>5</v>
      </c>
      <c r="J16" s="23"/>
      <c r="K16" s="17" t="str">
        <f>I16&amp;" sesiones de foniatría del mes de "&amp;H2&amp;" del 2021
BENEFICIARIO : "&amp;A16&amp;"
DNI   "&amp;B16&amp;"               N° Af "&amp;C16&amp;"
Valor de la sesión : $ "&amp;I2&amp;"
Fechas :  "&amp;J16</f>
        <v xml:space="preserve">5 sesiones de foniatría del mes de febrero del 2021
BENEFICIARIO : NOMBRE 11
DNI   DNI BENEFICIAIO 11               N° Af N° AFILILIADO 11
Valor de la sesión : $ 772,46
Fechas :  </v>
      </c>
      <c r="L16" s="12"/>
    </row>
    <row r="17" spans="1:12" x14ac:dyDescent="0.25">
      <c r="A17" s="2"/>
      <c r="B17" s="27"/>
      <c r="C17" s="27"/>
      <c r="D17" s="1"/>
      <c r="E17" s="29"/>
      <c r="F17" s="1"/>
      <c r="G17" s="1"/>
      <c r="H17" s="1"/>
      <c r="I17" s="1"/>
      <c r="J17" s="23"/>
      <c r="K17" s="17"/>
      <c r="L17" s="12"/>
    </row>
    <row r="18" spans="1:12" x14ac:dyDescent="0.25">
      <c r="A18" s="2"/>
      <c r="B18" s="27"/>
      <c r="C18" s="27"/>
      <c r="D18" s="1"/>
      <c r="E18" s="29"/>
      <c r="F18" s="1"/>
      <c r="G18" s="1"/>
      <c r="H18" s="1"/>
      <c r="I18" s="1"/>
      <c r="J18" s="23"/>
      <c r="K18" s="3"/>
      <c r="L18" s="12"/>
    </row>
    <row r="19" spans="1:12" x14ac:dyDescent="0.25">
      <c r="A19" s="2"/>
      <c r="B19" s="27"/>
      <c r="C19" s="27"/>
      <c r="D19" s="1"/>
      <c r="E19" s="29"/>
      <c r="F19" s="1"/>
      <c r="G19" s="1"/>
      <c r="H19" s="1"/>
      <c r="I19" s="1"/>
      <c r="J19" s="23"/>
      <c r="K19" s="3"/>
      <c r="L19" s="12"/>
    </row>
    <row r="20" spans="1:12" x14ac:dyDescent="0.25">
      <c r="A20" s="2"/>
      <c r="B20" s="27"/>
      <c r="C20" s="27"/>
      <c r="D20" s="1"/>
      <c r="E20" s="29"/>
      <c r="F20" s="1"/>
      <c r="G20" s="1"/>
      <c r="H20" s="1"/>
      <c r="I20" s="1"/>
      <c r="J20" s="23"/>
      <c r="K20" s="3"/>
      <c r="L20" s="12"/>
    </row>
    <row r="21" spans="1:12" x14ac:dyDescent="0.25">
      <c r="A21" s="2"/>
      <c r="B21" s="27"/>
      <c r="C21" s="27"/>
      <c r="D21" s="1"/>
      <c r="E21" s="29"/>
      <c r="F21" s="1"/>
      <c r="G21" s="1"/>
      <c r="H21" s="1"/>
      <c r="I21" s="1"/>
      <c r="J21" s="23"/>
      <c r="K21" s="3"/>
      <c r="L21" s="12"/>
    </row>
    <row r="22" spans="1:12" x14ac:dyDescent="0.25">
      <c r="A22" s="2"/>
      <c r="B22" s="27"/>
      <c r="C22" s="27"/>
      <c r="D22" s="1"/>
      <c r="E22" s="29"/>
      <c r="F22" s="1"/>
      <c r="G22" s="1"/>
      <c r="H22" s="1"/>
      <c r="I22" s="1"/>
      <c r="J22" s="23"/>
      <c r="K22" s="3"/>
      <c r="L22" s="12"/>
    </row>
    <row r="23" spans="1:12" x14ac:dyDescent="0.25">
      <c r="A23" s="2"/>
      <c r="B23" s="27"/>
      <c r="C23" s="27"/>
      <c r="D23" s="1"/>
      <c r="E23" s="29"/>
      <c r="F23" s="1"/>
      <c r="G23" s="1"/>
      <c r="H23" s="1"/>
      <c r="I23" s="1"/>
      <c r="J23" s="23"/>
      <c r="K23" s="3"/>
      <c r="L23" s="12"/>
    </row>
    <row r="24" spans="1:12" ht="15.75" thickBot="1" x14ac:dyDescent="0.3">
      <c r="A24" s="4"/>
      <c r="B24" s="25"/>
      <c r="C24" s="25"/>
      <c r="D24" s="5"/>
      <c r="E24" s="5"/>
      <c r="F24" s="5"/>
      <c r="G24" s="5"/>
      <c r="H24" s="5"/>
      <c r="I24" s="5"/>
      <c r="J24" s="24"/>
      <c r="K24" s="6"/>
      <c r="L24" s="12"/>
    </row>
    <row r="25" spans="1:12" x14ac:dyDescent="0.25">
      <c r="L25" s="12"/>
    </row>
    <row r="26" spans="1:12" x14ac:dyDescent="0.25">
      <c r="L26" s="12"/>
    </row>
    <row r="27" spans="1:12" x14ac:dyDescent="0.25">
      <c r="A27" s="12"/>
      <c r="B27" s="12"/>
      <c r="C27" s="12"/>
      <c r="D27" s="12"/>
      <c r="E27" s="12"/>
      <c r="F27" s="12"/>
      <c r="G27" s="12"/>
      <c r="H27" s="12"/>
      <c r="L27" s="12"/>
    </row>
    <row r="28" spans="1:12" x14ac:dyDescent="0.25">
      <c r="A28" s="12"/>
      <c r="B28" s="12"/>
      <c r="C28" s="12"/>
      <c r="D28" s="12"/>
      <c r="E28" s="12"/>
      <c r="F28" s="12"/>
      <c r="G28" s="18"/>
      <c r="H28" s="12"/>
    </row>
    <row r="29" spans="1:12" x14ac:dyDescent="0.25">
      <c r="A29" s="12"/>
      <c r="B29" s="12"/>
      <c r="C29" s="12"/>
      <c r="D29" s="20"/>
      <c r="E29" s="12"/>
      <c r="F29" s="12"/>
      <c r="G29" s="12"/>
      <c r="H29" s="12"/>
    </row>
    <row r="30" spans="1:12" x14ac:dyDescent="0.25">
      <c r="A30" s="12"/>
      <c r="B30" s="12"/>
      <c r="C30" s="12"/>
      <c r="D30" s="12"/>
      <c r="E30" s="12"/>
      <c r="F30" s="12"/>
      <c r="G30" s="12"/>
      <c r="H30" s="12"/>
    </row>
  </sheetData>
  <phoneticPr fontId="4" type="noConversion"/>
  <dataValidations count="2">
    <dataValidation type="list" allowBlank="1" showInputMessage="1" showErrorMessage="1" sqref="H6:H24" xr:uid="{00000000-0002-0000-0000-000000000000}">
      <formula1>"Contado,Tarjeta de Débito,Tarjeta de Crédito,Cuenta Corriente,Cheque,Ticket,Otra"</formula1>
    </dataValidation>
    <dataValidation type="list" allowBlank="1" showInputMessage="1" showErrorMessage="1" sqref="D6:D24" xr:uid="{00000000-0002-0000-0000-000001000000}">
      <formula1>"IVA Responsable Inscripto,IVA Sujeto Exento,Consumidor Final,Responsable Monotributo,Sujeto No Categorizado,Proveedor del Exterior,Cliente del Exterior"</formula1>
    </dataValidation>
  </dataValidations>
  <hyperlinks>
    <hyperlink ref="E4" r:id="rId1" xr:uid="{00000000-0004-0000-00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preInicio">
                <anchor moveWithCells="1" sizeWithCells="1">
                  <from>
                    <xdr:col>0</xdr:col>
                    <xdr:colOff>114300</xdr:colOff>
                    <xdr:row>1</xdr:row>
                    <xdr:rowOff>0</xdr:rowOff>
                  </from>
                  <to>
                    <xdr:col>1</xdr:col>
                    <xdr:colOff>962025</xdr:colOff>
                    <xdr:row>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'facturarPaciente 6'">
                <anchor moveWithCells="1" sizeWithCells="1">
                  <from>
                    <xdr:col>0</xdr:col>
                    <xdr:colOff>19050</xdr:colOff>
                    <xdr:row>5</xdr:row>
                    <xdr:rowOff>1000125</xdr:rowOff>
                  </from>
                  <to>
                    <xdr:col>0</xdr:col>
                    <xdr:colOff>1104900</xdr:colOff>
                    <xdr:row>5</xdr:row>
                    <xdr:rowOff>1466850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'facturarPaciente 7'">
                <anchor moveWithCells="1" sizeWithCells="1">
                  <from>
                    <xdr:col>0</xdr:col>
                    <xdr:colOff>19050</xdr:colOff>
                    <xdr:row>6</xdr:row>
                    <xdr:rowOff>1000125</xdr:rowOff>
                  </from>
                  <to>
                    <xdr:col>0</xdr:col>
                    <xdr:colOff>1104900</xdr:colOff>
                    <xdr:row>6</xdr:row>
                    <xdr:rowOff>1466850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'facturarPaciente 8'">
                <anchor moveWithCells="1" sizeWithCells="1">
                  <from>
                    <xdr:col>0</xdr:col>
                    <xdr:colOff>19050</xdr:colOff>
                    <xdr:row>7</xdr:row>
                    <xdr:rowOff>1000125</xdr:rowOff>
                  </from>
                  <to>
                    <xdr:col>0</xdr:col>
                    <xdr:colOff>1104900</xdr:colOff>
                    <xdr:row>7</xdr:row>
                    <xdr:rowOff>1466850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'facturarPaciente 9'">
                <anchor moveWithCells="1" sizeWithCells="1">
                  <from>
                    <xdr:col>0</xdr:col>
                    <xdr:colOff>19050</xdr:colOff>
                    <xdr:row>8</xdr:row>
                    <xdr:rowOff>1000125</xdr:rowOff>
                  </from>
                  <to>
                    <xdr:col>0</xdr:col>
                    <xdr:colOff>1104900</xdr:colOff>
                    <xdr:row>8</xdr:row>
                    <xdr:rowOff>1466850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'facturarPaciente 10'">
                <anchor moveWithCells="1" sizeWithCells="1">
                  <from>
                    <xdr:col>0</xdr:col>
                    <xdr:colOff>19050</xdr:colOff>
                    <xdr:row>9</xdr:row>
                    <xdr:rowOff>1000125</xdr:rowOff>
                  </from>
                  <to>
                    <xdr:col>0</xdr:col>
                    <xdr:colOff>1104900</xdr:colOff>
                    <xdr:row>9</xdr:row>
                    <xdr:rowOff>1466850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'facturarPaciente 11'">
                <anchor moveWithCells="1" sizeWithCells="1">
                  <from>
                    <xdr:col>0</xdr:col>
                    <xdr:colOff>19050</xdr:colOff>
                    <xdr:row>10</xdr:row>
                    <xdr:rowOff>1000125</xdr:rowOff>
                  </from>
                  <to>
                    <xdr:col>0</xdr:col>
                    <xdr:colOff>1104900</xdr:colOff>
                    <xdr:row>10</xdr:row>
                    <xdr:rowOff>1466850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'facturarPaciente 12'">
                <anchor moveWithCells="1" sizeWithCells="1">
                  <from>
                    <xdr:col>0</xdr:col>
                    <xdr:colOff>19050</xdr:colOff>
                    <xdr:row>11</xdr:row>
                    <xdr:rowOff>1000125</xdr:rowOff>
                  </from>
                  <to>
                    <xdr:col>0</xdr:col>
                    <xdr:colOff>1104900</xdr:colOff>
                    <xdr:row>11</xdr:row>
                    <xdr:rowOff>1466850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'facturarPaciente 13'">
                <anchor moveWithCells="1" sizeWithCells="1">
                  <from>
                    <xdr:col>0</xdr:col>
                    <xdr:colOff>19050</xdr:colOff>
                    <xdr:row>12</xdr:row>
                    <xdr:rowOff>1000125</xdr:rowOff>
                  </from>
                  <to>
                    <xdr:col>0</xdr:col>
                    <xdr:colOff>1104900</xdr:colOff>
                    <xdr:row>12</xdr:row>
                    <xdr:rowOff>1466850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'facturarPaciente 14'">
                <anchor moveWithCells="1" sizeWithCells="1">
                  <from>
                    <xdr:col>0</xdr:col>
                    <xdr:colOff>19050</xdr:colOff>
                    <xdr:row>13</xdr:row>
                    <xdr:rowOff>1000125</xdr:rowOff>
                  </from>
                  <to>
                    <xdr:col>0</xdr:col>
                    <xdr:colOff>1104900</xdr:colOff>
                    <xdr:row>13</xdr:row>
                    <xdr:rowOff>1466850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 macro="[0]!'facturarPaciente 15'">
                <anchor moveWithCells="1" sizeWithCells="1">
                  <from>
                    <xdr:col>0</xdr:col>
                    <xdr:colOff>19050</xdr:colOff>
                    <xdr:row>14</xdr:row>
                    <xdr:rowOff>1000125</xdr:rowOff>
                  </from>
                  <to>
                    <xdr:col>0</xdr:col>
                    <xdr:colOff>1104900</xdr:colOff>
                    <xdr:row>14</xdr:row>
                    <xdr:rowOff>1466850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6" name="Button 20">
              <controlPr defaultSize="0" print="0" autoFill="0" autoPict="0" macro="[0]!'facturarPaciente 16'">
                <anchor moveWithCells="1" sizeWithCells="1">
                  <from>
                    <xdr:col>0</xdr:col>
                    <xdr:colOff>0</xdr:colOff>
                    <xdr:row>15</xdr:row>
                    <xdr:rowOff>685800</xdr:rowOff>
                  </from>
                  <to>
                    <xdr:col>0</xdr:col>
                    <xdr:colOff>1085850</xdr:colOff>
                    <xdr:row>15</xdr:row>
                    <xdr:rowOff>1152525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Carretero</dc:creator>
  <cp:lastModifiedBy>Andrew</cp:lastModifiedBy>
  <cp:lastPrinted>2020-10-02T17:54:17Z</cp:lastPrinted>
  <dcterms:created xsi:type="dcterms:W3CDTF">2019-12-27T13:16:08Z</dcterms:created>
  <dcterms:modified xsi:type="dcterms:W3CDTF">2021-03-14T02:15:47Z</dcterms:modified>
</cp:coreProperties>
</file>